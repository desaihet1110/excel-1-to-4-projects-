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TASK 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 s="1"/>
  <c r="M3" i="1"/>
  <c r="E4" i="1"/>
  <c r="F4" i="1" s="1"/>
  <c r="M4" i="1"/>
  <c r="E5" i="1"/>
  <c r="F5" i="1" s="1"/>
  <c r="M5" i="1"/>
  <c r="E6" i="1"/>
  <c r="F6" i="1" s="1"/>
  <c r="M6" i="1"/>
  <c r="M7" i="1"/>
  <c r="N7" i="1" s="1"/>
  <c r="N6" i="1" l="1"/>
  <c r="N5" i="1"/>
  <c r="N4" i="1"/>
  <c r="N3" i="1"/>
</calcChain>
</file>

<file path=xl/sharedStrings.xml><?xml version="1.0" encoding="utf-8"?>
<sst xmlns="http://schemas.openxmlformats.org/spreadsheetml/2006/main" count="97" uniqueCount="12">
  <si>
    <t>Financial Consultants</t>
  </si>
  <si>
    <t>Capital Appreciation</t>
  </si>
  <si>
    <t>Newspapers and Magazines</t>
  </si>
  <si>
    <t>Growth</t>
  </si>
  <si>
    <t>Television</t>
  </si>
  <si>
    <t>Income</t>
  </si>
  <si>
    <t>Internet</t>
  </si>
  <si>
    <t>Total</t>
  </si>
  <si>
    <t>Percentage</t>
  </si>
  <si>
    <t>Count</t>
  </si>
  <si>
    <t>Source</t>
  </si>
  <si>
    <t>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</si>
</sst>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OBJECTIVE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36477353035394E-2"/>
          <c:y val="0.19610517020870724"/>
          <c:w val="0.90956352264696461"/>
          <c:h val="0.72109653267712104"/>
        </c:manualLayout>
      </c:layout>
      <c:doughnutChart>
        <c:varyColors val="1"/>
        <c:ser>
          <c:idx val="0"/>
          <c:order val="0"/>
          <c:tx>
            <c:strRef>
              <c:f>'TASK 3'!$E$2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9FD-4F49-9A58-7F79C7F27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9FD-4F49-9A58-7F79C7F27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9FD-4F49-9A58-7F79C7F27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9FD-4F49-9A58-7F79C7F27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'TASK 3'!$D$3:$D$6</c:f>
              <c:strCache>
                <c:ptCount val="4"/>
                <c:pt idx="0">
                  <c:v>Capital Appreciation</c:v>
                </c:pt>
                <c:pt idx="1">
                  <c:v>Income</c:v>
                </c:pt>
                <c:pt idx="2">
                  <c:v>Growth</c:v>
                </c:pt>
                <c:pt idx="3">
                  <c:v>Total</c:v>
                </c:pt>
              </c:strCache>
            </c:strRef>
          </c:cat>
          <c:val>
            <c:numRef>
              <c:f>'TASK 3'!$E$3:$E$6</c:f>
              <c:numCache>
                <c:formatCode>General</c:formatCode>
                <c:ptCount val="4"/>
                <c:pt idx="0">
                  <c:v>26</c:v>
                </c:pt>
                <c:pt idx="1">
                  <c:v>3</c:v>
                </c:pt>
                <c:pt idx="2">
                  <c:v>11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FD-4F49-9A58-7F79C7F27DDF}"/>
            </c:ext>
          </c:extLst>
        </c:ser>
        <c:ser>
          <c:idx val="1"/>
          <c:order val="1"/>
          <c:tx>
            <c:strRef>
              <c:f>'TASK 3'!$F$2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19FD-4F49-9A58-7F79C7F27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19FD-4F49-9A58-7F79C7F27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19FD-4F49-9A58-7F79C7F27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19FD-4F49-9A58-7F79C7F27DDF}"/>
              </c:ext>
            </c:extLst>
          </c:dPt>
          <c:dLbls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366970055349068"/>
                      <c:h val="8.19393991410393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19FD-4F49-9A58-7F79C7F27D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'TASK 3'!$D$3:$D$6</c:f>
              <c:strCache>
                <c:ptCount val="4"/>
                <c:pt idx="0">
                  <c:v>Capital Appreciation</c:v>
                </c:pt>
                <c:pt idx="1">
                  <c:v>Income</c:v>
                </c:pt>
                <c:pt idx="2">
                  <c:v>Growth</c:v>
                </c:pt>
                <c:pt idx="3">
                  <c:v>Total</c:v>
                </c:pt>
              </c:strCache>
            </c:strRef>
          </c:cat>
          <c:val>
            <c:numRef>
              <c:f>'TASK 3'!$F$3:$F$6</c:f>
              <c:numCache>
                <c:formatCode>General</c:formatCode>
                <c:ptCount val="4"/>
                <c:pt idx="0">
                  <c:v>65</c:v>
                </c:pt>
                <c:pt idx="1">
                  <c:v>7.5</c:v>
                </c:pt>
                <c:pt idx="2">
                  <c:v>27.500000000000004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9FD-4F49-9A58-7F79C7F27D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SOURCE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'TASK 3'!$M$2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3'!$L$5:$L$9</c:f>
              <c:strCache>
                <c:ptCount val="3"/>
                <c:pt idx="0">
                  <c:v>Television</c:v>
                </c:pt>
                <c:pt idx="1">
                  <c:v>Internet</c:v>
                </c:pt>
                <c:pt idx="2">
                  <c:v>Total</c:v>
                </c:pt>
              </c:strCache>
            </c:strRef>
          </c:cat>
          <c:val>
            <c:numRef>
              <c:f>'TASK 3'!$M$5:$M$9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2-454F-B46B-F7CE5DA489FE}"/>
            </c:ext>
          </c:extLst>
        </c:ser>
        <c:ser>
          <c:idx val="1"/>
          <c:order val="1"/>
          <c:tx>
            <c:strRef>
              <c:f>'TASK 3'!$N$2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3'!$L$5:$L$9</c:f>
              <c:strCache>
                <c:ptCount val="3"/>
                <c:pt idx="0">
                  <c:v>Television</c:v>
                </c:pt>
                <c:pt idx="1">
                  <c:v>Internet</c:v>
                </c:pt>
                <c:pt idx="2">
                  <c:v>Total</c:v>
                </c:pt>
              </c:strCache>
            </c:strRef>
          </c:cat>
          <c:val>
            <c:numRef>
              <c:f>'TASK 3'!$N$5:$N$9</c:f>
              <c:numCache>
                <c:formatCode>General</c:formatCode>
                <c:ptCount val="5"/>
                <c:pt idx="0">
                  <c:v>15</c:v>
                </c:pt>
                <c:pt idx="1">
                  <c:v>10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42-454F-B46B-F7CE5DA489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84179199"/>
        <c:axId val="584177119"/>
        <c:axId val="0"/>
      </c:bar3DChart>
      <c:catAx>
        <c:axId val="58417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77119"/>
        <c:crosses val="autoZero"/>
        <c:auto val="1"/>
        <c:lblAlgn val="ctr"/>
        <c:lblOffset val="100"/>
        <c:noMultiLvlLbl val="0"/>
      </c:catAx>
      <c:valAx>
        <c:axId val="584177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417919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SOURCE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3'!$L$3:$L$7</c:f>
              <c:strCache>
                <c:ptCount val="5"/>
                <c:pt idx="0">
                  <c:v>Newspapers and Magazines</c:v>
                </c:pt>
                <c:pt idx="1">
                  <c:v>Financial Consultants</c:v>
                </c:pt>
                <c:pt idx="2">
                  <c:v>Television</c:v>
                </c:pt>
                <c:pt idx="3">
                  <c:v>Internet</c:v>
                </c:pt>
                <c:pt idx="4">
                  <c:v>Total</c:v>
                </c:pt>
              </c:strCache>
            </c:strRef>
          </c:cat>
          <c:val>
            <c:numRef>
              <c:f>'TASK 3'!$M$3:$M$7</c:f>
              <c:numCache>
                <c:formatCode>General</c:formatCode>
                <c:ptCount val="5"/>
                <c:pt idx="0">
                  <c:v>14</c:v>
                </c:pt>
                <c:pt idx="1">
                  <c:v>16</c:v>
                </c:pt>
                <c:pt idx="2">
                  <c:v>6</c:v>
                </c:pt>
                <c:pt idx="3">
                  <c:v>4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1-46A9-84A6-1134A9ADC13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3'!$L$3:$L$7</c:f>
              <c:strCache>
                <c:ptCount val="5"/>
                <c:pt idx="0">
                  <c:v>Newspapers and Magazines</c:v>
                </c:pt>
                <c:pt idx="1">
                  <c:v>Financial Consultants</c:v>
                </c:pt>
                <c:pt idx="2">
                  <c:v>Television</c:v>
                </c:pt>
                <c:pt idx="3">
                  <c:v>Internet</c:v>
                </c:pt>
                <c:pt idx="4">
                  <c:v>Total</c:v>
                </c:pt>
              </c:strCache>
            </c:strRef>
          </c:cat>
          <c:val>
            <c:numRef>
              <c:f>'TASK 3'!$N$3:$N$7</c:f>
              <c:numCache>
                <c:formatCode>General</c:formatCode>
                <c:ptCount val="5"/>
                <c:pt idx="0">
                  <c:v>35</c:v>
                </c:pt>
                <c:pt idx="1">
                  <c:v>40</c:v>
                </c:pt>
                <c:pt idx="2">
                  <c:v>15</c:v>
                </c:pt>
                <c:pt idx="3">
                  <c:v>10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1-46A9-84A6-1134A9ADC1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28507327"/>
        <c:axId val="628499839"/>
        <c:axId val="0"/>
      </c:bar3DChart>
      <c:catAx>
        <c:axId val="628507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499839"/>
        <c:crosses val="autoZero"/>
        <c:auto val="1"/>
        <c:lblAlgn val="ctr"/>
        <c:lblOffset val="100"/>
        <c:noMultiLvlLbl val="0"/>
      </c:catAx>
      <c:valAx>
        <c:axId val="6284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0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320674</xdr:colOff>
      <xdr:row>8</xdr:row>
      <xdr:rowOff>104774</xdr:rowOff>
    </xdr:from>
    <xdr:to>
      <xdr:col>8</xdr:col>
      <xdr:colOff>520700</xdr:colOff>
      <xdr:row>42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193675</xdr:colOff>
      <xdr:row>7</xdr:row>
      <xdr:rowOff>117474</xdr:rowOff>
    </xdr:from>
    <xdr:to>
      <xdr:col>14</xdr:col>
      <xdr:colOff>346075</xdr:colOff>
      <xdr:row>36</xdr:row>
      <xdr:rowOff>63499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187324</xdr:colOff>
      <xdr:row>7</xdr:row>
      <xdr:rowOff>130174</xdr:rowOff>
    </xdr:from>
    <xdr:to>
      <xdr:col>16</xdr:col>
      <xdr:colOff>266700</xdr:colOff>
      <xdr:row>37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6" displayName="Table6" ref="A1:B41" totalsRowShown="0">
  <autoFilter ref="A1:B41"/>
  <tableColumns count="2">
    <tableColumn id="1" name="Objective"/>
    <tableColumn id="2" name="Source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able7" displayName="Table7" ref="D2:F6" totalsRowShown="0" headerRowDxfId="6" dataDxfId="5">
  <autoFilter ref="D2:F6"/>
  <tableColumns count="3">
    <tableColumn id="1" name="Objective" dataDxfId="9"/>
    <tableColumn id="2" name="Count" dataDxfId="8"/>
    <tableColumn id="3" name="Percentage" dataDxfId="7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id="3" name="Table8" displayName="Table8" ref="L2:N7" totalsRowShown="0" headerRowDxfId="1" dataDxfId="0">
  <autoFilter ref="L2:N7"/>
  <tableColumns count="3">
    <tableColumn id="1" name="Source" dataDxfId="4"/>
    <tableColumn id="2" name="Count" dataDxfId="3"/>
    <tableColumn id="3" name="Percentage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showGridLines="0" tabSelected="1" zoomScale="50" zoomScaleNormal="50" workbookViewId="0">
      <selection activeCell="U9" sqref="U9"/>
    </sheetView>
  </sheetViews>
  <sheetFormatPr defaultRowHeight="14.5" x14ac:dyDescent="0.35"/>
  <cols>
    <col min="1" max="1" width="19.1796875" customWidth="1"/>
    <col min="2" max="2" width="25.6328125" customWidth="1"/>
    <col min="3" max="3" width="4.54296875" customWidth="1"/>
    <col min="4" max="4" width="26.08984375" customWidth="1"/>
    <col min="5" max="5" width="14.453125" customWidth="1"/>
    <col min="6" max="6" width="23" customWidth="1"/>
    <col min="12" max="12" width="25.08984375" customWidth="1"/>
    <col min="13" max="13" width="17.36328125" customWidth="1"/>
    <col min="14" max="14" width="20" customWidth="1"/>
  </cols>
  <sheetData>
    <row r="1" spans="1:14" x14ac:dyDescent="0.35">
      <c r="A1" t="s">
        <v>11</v>
      </c>
      <c r="B1" t="s">
        <v>10</v>
      </c>
    </row>
    <row r="2" spans="1:14" ht="18.5" x14ac:dyDescent="0.35">
      <c r="A2" t="s">
        <v>1</v>
      </c>
      <c r="B2" t="s">
        <v>2</v>
      </c>
      <c r="D2" s="1" t="s">
        <v>11</v>
      </c>
      <c r="E2" s="1" t="s">
        <v>9</v>
      </c>
      <c r="F2" s="1" t="s">
        <v>8</v>
      </c>
      <c r="L2" s="1" t="s">
        <v>10</v>
      </c>
      <c r="M2" s="1" t="s">
        <v>9</v>
      </c>
      <c r="N2" s="1" t="s">
        <v>8</v>
      </c>
    </row>
    <row r="3" spans="1:14" ht="18.5" x14ac:dyDescent="0.35">
      <c r="A3" t="s">
        <v>1</v>
      </c>
      <c r="B3" t="s">
        <v>0</v>
      </c>
      <c r="D3" s="1" t="s">
        <v>1</v>
      </c>
      <c r="E3" s="1">
        <f>COUNTIF(Table6[Objective],"Capital Appreciation")</f>
        <v>26</v>
      </c>
      <c r="F3" s="1">
        <f>E3  / E6 *100</f>
        <v>65</v>
      </c>
      <c r="L3" s="1" t="s">
        <v>2</v>
      </c>
      <c r="M3" s="1">
        <f>COUNTIF(Table6[Source],"Newspapers and Magazines")</f>
        <v>14</v>
      </c>
      <c r="N3" s="1">
        <f>M3 / M7 * 100</f>
        <v>35</v>
      </c>
    </row>
    <row r="4" spans="1:14" ht="18.5" x14ac:dyDescent="0.35">
      <c r="A4" t="s">
        <v>1</v>
      </c>
      <c r="B4" t="s">
        <v>4</v>
      </c>
      <c r="D4" s="1" t="s">
        <v>5</v>
      </c>
      <c r="E4" s="1">
        <f>COUNTIF(Table6[Objective],"Income")</f>
        <v>3</v>
      </c>
      <c r="F4" s="1">
        <f>E4 / E6 * 100</f>
        <v>7.5</v>
      </c>
      <c r="L4" s="1" t="s">
        <v>0</v>
      </c>
      <c r="M4" s="1">
        <f>COUNTIF(Table6[Source],"Financial Consultants")</f>
        <v>16</v>
      </c>
      <c r="N4" s="1">
        <f>M4 / M7 * 100</f>
        <v>40</v>
      </c>
    </row>
    <row r="5" spans="1:14" ht="18.5" x14ac:dyDescent="0.35">
      <c r="A5" t="s">
        <v>5</v>
      </c>
      <c r="B5" t="s">
        <v>6</v>
      </c>
      <c r="D5" s="1" t="s">
        <v>3</v>
      </c>
      <c r="E5" s="1">
        <f>COUNTIF(Table6[Objective],"Growth")</f>
        <v>11</v>
      </c>
      <c r="F5" s="1">
        <f>E5 / E6 * 100</f>
        <v>27.500000000000004</v>
      </c>
      <c r="L5" s="1" t="s">
        <v>4</v>
      </c>
      <c r="M5" s="1">
        <f>COUNTIF(Table6[Source],"Television")</f>
        <v>6</v>
      </c>
      <c r="N5" s="1">
        <f>M5 / M7 *100</f>
        <v>15</v>
      </c>
    </row>
    <row r="6" spans="1:14" ht="18.5" x14ac:dyDescent="0.35">
      <c r="A6" t="s">
        <v>5</v>
      </c>
      <c r="B6" t="s">
        <v>6</v>
      </c>
      <c r="D6" s="1" t="s">
        <v>7</v>
      </c>
      <c r="E6" s="1">
        <f>SUM(E3,E4,E5)</f>
        <v>40</v>
      </c>
      <c r="F6" s="1">
        <f>E6/ E6 *100</f>
        <v>100</v>
      </c>
      <c r="L6" s="1" t="s">
        <v>6</v>
      </c>
      <c r="M6" s="1">
        <f>COUNTIF(Table6[Source],"Internet")</f>
        <v>4</v>
      </c>
      <c r="N6" s="1">
        <f>M6 / M7 * 100</f>
        <v>10</v>
      </c>
    </row>
    <row r="7" spans="1:14" ht="18.5" x14ac:dyDescent="0.35">
      <c r="A7" t="s">
        <v>1</v>
      </c>
      <c r="B7" t="s">
        <v>6</v>
      </c>
      <c r="L7" s="1" t="s">
        <v>7</v>
      </c>
      <c r="M7" s="1">
        <f>SUM(M3,M4,M5,M6)</f>
        <v>40</v>
      </c>
      <c r="N7" s="1">
        <f>M7 /M7 * 100</f>
        <v>100</v>
      </c>
    </row>
    <row r="8" spans="1:14" x14ac:dyDescent="0.35">
      <c r="A8" t="s">
        <v>1</v>
      </c>
      <c r="B8" t="s">
        <v>0</v>
      </c>
    </row>
    <row r="9" spans="1:14" x14ac:dyDescent="0.35">
      <c r="A9" t="s">
        <v>1</v>
      </c>
      <c r="B9" t="s">
        <v>2</v>
      </c>
    </row>
    <row r="10" spans="1:14" x14ac:dyDescent="0.35">
      <c r="A10" t="s">
        <v>3</v>
      </c>
      <c r="B10" t="s">
        <v>4</v>
      </c>
    </row>
    <row r="11" spans="1:14" x14ac:dyDescent="0.35">
      <c r="A11" t="s">
        <v>1</v>
      </c>
      <c r="B11" t="s">
        <v>2</v>
      </c>
    </row>
    <row r="12" spans="1:14" x14ac:dyDescent="0.35">
      <c r="A12" t="s">
        <v>3</v>
      </c>
      <c r="B12" t="s">
        <v>0</v>
      </c>
    </row>
    <row r="13" spans="1:14" x14ac:dyDescent="0.35">
      <c r="A13" t="s">
        <v>1</v>
      </c>
      <c r="B13" t="s">
        <v>0</v>
      </c>
    </row>
    <row r="14" spans="1:14" x14ac:dyDescent="0.35">
      <c r="A14" t="s">
        <v>1</v>
      </c>
      <c r="B14" t="s">
        <v>6</v>
      </c>
    </row>
    <row r="15" spans="1:14" x14ac:dyDescent="0.35">
      <c r="A15" t="s">
        <v>1</v>
      </c>
      <c r="B15" t="s">
        <v>2</v>
      </c>
    </row>
    <row r="16" spans="1:14" x14ac:dyDescent="0.35">
      <c r="A16" t="s">
        <v>1</v>
      </c>
      <c r="B16" t="s">
        <v>0</v>
      </c>
    </row>
    <row r="17" spans="1:2" x14ac:dyDescent="0.35">
      <c r="A17" t="s">
        <v>1</v>
      </c>
      <c r="B17" t="s">
        <v>2</v>
      </c>
    </row>
    <row r="18" spans="1:2" x14ac:dyDescent="0.35">
      <c r="A18" t="s">
        <v>3</v>
      </c>
      <c r="B18" t="s">
        <v>4</v>
      </c>
    </row>
    <row r="19" spans="1:2" x14ac:dyDescent="0.35">
      <c r="A19" t="s">
        <v>1</v>
      </c>
      <c r="B19" t="s">
        <v>0</v>
      </c>
    </row>
    <row r="20" spans="1:2" x14ac:dyDescent="0.35">
      <c r="A20" t="s">
        <v>1</v>
      </c>
      <c r="B20" t="s">
        <v>2</v>
      </c>
    </row>
    <row r="21" spans="1:2" x14ac:dyDescent="0.35">
      <c r="A21" t="s">
        <v>1</v>
      </c>
      <c r="B21" t="s">
        <v>2</v>
      </c>
    </row>
    <row r="22" spans="1:2" x14ac:dyDescent="0.35">
      <c r="A22" t="s">
        <v>3</v>
      </c>
      <c r="B22" t="s">
        <v>0</v>
      </c>
    </row>
    <row r="23" spans="1:2" x14ac:dyDescent="0.35">
      <c r="A23" t="s">
        <v>1</v>
      </c>
      <c r="B23" t="s">
        <v>2</v>
      </c>
    </row>
    <row r="24" spans="1:2" x14ac:dyDescent="0.35">
      <c r="A24" t="s">
        <v>1</v>
      </c>
      <c r="B24" t="s">
        <v>0</v>
      </c>
    </row>
    <row r="25" spans="1:2" x14ac:dyDescent="0.35">
      <c r="A25" t="s">
        <v>3</v>
      </c>
      <c r="B25" t="s">
        <v>0</v>
      </c>
    </row>
    <row r="26" spans="1:2" x14ac:dyDescent="0.35">
      <c r="A26" t="s">
        <v>1</v>
      </c>
      <c r="B26" t="s">
        <v>2</v>
      </c>
    </row>
    <row r="27" spans="1:2" x14ac:dyDescent="0.35">
      <c r="A27" t="s">
        <v>3</v>
      </c>
      <c r="B27" t="s">
        <v>0</v>
      </c>
    </row>
    <row r="28" spans="1:2" x14ac:dyDescent="0.35">
      <c r="A28" t="s">
        <v>1</v>
      </c>
      <c r="B28" t="s">
        <v>0</v>
      </c>
    </row>
    <row r="29" spans="1:2" x14ac:dyDescent="0.35">
      <c r="A29" t="s">
        <v>3</v>
      </c>
      <c r="B29" t="s">
        <v>4</v>
      </c>
    </row>
    <row r="30" spans="1:2" x14ac:dyDescent="0.35">
      <c r="A30" t="s">
        <v>1</v>
      </c>
      <c r="B30" t="s">
        <v>4</v>
      </c>
    </row>
    <row r="31" spans="1:2" x14ac:dyDescent="0.35">
      <c r="A31" t="s">
        <v>5</v>
      </c>
      <c r="B31" t="s">
        <v>2</v>
      </c>
    </row>
    <row r="32" spans="1:2" x14ac:dyDescent="0.35">
      <c r="A32" t="s">
        <v>3</v>
      </c>
      <c r="B32" t="s">
        <v>4</v>
      </c>
    </row>
    <row r="33" spans="1:2" x14ac:dyDescent="0.35">
      <c r="A33" t="s">
        <v>1</v>
      </c>
      <c r="B33" t="s">
        <v>0</v>
      </c>
    </row>
    <row r="34" spans="1:2" x14ac:dyDescent="0.35">
      <c r="A34" t="s">
        <v>1</v>
      </c>
      <c r="B34" t="s">
        <v>2</v>
      </c>
    </row>
    <row r="35" spans="1:2" x14ac:dyDescent="0.35">
      <c r="A35" t="s">
        <v>1</v>
      </c>
      <c r="B35" t="s">
        <v>2</v>
      </c>
    </row>
    <row r="36" spans="1:2" x14ac:dyDescent="0.35">
      <c r="A36" t="s">
        <v>1</v>
      </c>
      <c r="B36" t="s">
        <v>0</v>
      </c>
    </row>
    <row r="37" spans="1:2" x14ac:dyDescent="0.35">
      <c r="A37" t="s">
        <v>3</v>
      </c>
      <c r="B37" t="s">
        <v>0</v>
      </c>
    </row>
    <row r="38" spans="1:2" x14ac:dyDescent="0.35">
      <c r="A38" t="s">
        <v>1</v>
      </c>
      <c r="B38" t="s">
        <v>2</v>
      </c>
    </row>
    <row r="39" spans="1:2" x14ac:dyDescent="0.35">
      <c r="A39" t="s">
        <v>3</v>
      </c>
      <c r="B39" t="s">
        <v>0</v>
      </c>
    </row>
    <row r="40" spans="1:2" x14ac:dyDescent="0.35">
      <c r="A40" t="s">
        <v>3</v>
      </c>
      <c r="B40" t="s">
        <v>2</v>
      </c>
    </row>
    <row r="41" spans="1:2" x14ac:dyDescent="0.35">
      <c r="A41" t="s">
        <v>1</v>
      </c>
      <c r="B41" t="s">
        <v>0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2026-01-06T05:47:50Z</dcterms:created>
  <dcterms:modified xsi:type="dcterms:W3CDTF">2026-01-08T07:18:30Z</dcterms:modified>
</cp:coreProperties>
</file>