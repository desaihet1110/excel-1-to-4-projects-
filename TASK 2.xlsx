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TASK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12" i="1"/>
  <c r="E13" i="1"/>
  <c r="E14" i="1"/>
  <c r="F6" i="1" l="1"/>
  <c r="F4" i="1"/>
  <c r="E15" i="1"/>
  <c r="F15" i="1" s="1"/>
  <c r="E7" i="1"/>
  <c r="F12" i="1" l="1"/>
  <c r="F13" i="1"/>
  <c r="F5" i="1"/>
  <c r="F7" i="1"/>
  <c r="F14" i="1"/>
</calcChain>
</file>

<file path=xl/sharedStrings.xml><?xml version="1.0" encoding="utf-8"?>
<sst xmlns="http://schemas.openxmlformats.org/spreadsheetml/2006/main" count="98" uniqueCount="13">
  <si>
    <t>Fixed Returns</t>
  </si>
  <si>
    <t>Better Returns</t>
  </si>
  <si>
    <t>Fund Diversification</t>
  </si>
  <si>
    <t>Risk Free</t>
  </si>
  <si>
    <t>Tax Benefits</t>
  </si>
  <si>
    <t>Total</t>
  </si>
  <si>
    <t>High Interest Rates</t>
  </si>
  <si>
    <t>Percentage</t>
  </si>
  <si>
    <t>Count</t>
  </si>
  <si>
    <t>Reason_FD</t>
  </si>
  <si>
    <t>Reasons for Choosing Fixed Deposits</t>
  </si>
  <si>
    <t>Reason_Mutual</t>
  </si>
  <si>
    <t>Reasons for Choosing 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</si>
</sst>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0" xfId="1" applyFont="1" applyAlignment="1">
      <alignment horizontal="center" vertical="center"/>
    </xf>
  </cellXfs>
  <cellStyles count="2">
    <cellStyle name="Accent2" xfId="1" builtinId="33"/>
    <cellStyle name="Normal" xfId="0" builtinId="0"/>
  </cellStyles>
  <dxfs count="14"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REASONS FOR CHOOSING MUTUAL FUNDS AND FIXED DIPOSITS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'TASK 2'!$E$2</c:f>
              <c:strCache>
                <c:ptCount val="1"/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2'!$D$3:$D$15</c:f>
              <c:strCache>
                <c:ptCount val="13"/>
                <c:pt idx="0">
                  <c:v>Reason_Mutual</c:v>
                </c:pt>
                <c:pt idx="1">
                  <c:v>Better Returns</c:v>
                </c:pt>
                <c:pt idx="2">
                  <c:v>Tax Benefits</c:v>
                </c:pt>
                <c:pt idx="3">
                  <c:v>Fund Diversification</c:v>
                </c:pt>
                <c:pt idx="4">
                  <c:v>Total</c:v>
                </c:pt>
                <c:pt idx="7">
                  <c:v>Reasons for Choosing Fixed Deposits</c:v>
                </c:pt>
                <c:pt idx="8">
                  <c:v>Reason_FD</c:v>
                </c:pt>
                <c:pt idx="9">
                  <c:v>Fixed Returns</c:v>
                </c:pt>
                <c:pt idx="10">
                  <c:v>High Interest Rates</c:v>
                </c:pt>
                <c:pt idx="11">
                  <c:v>Risk Free</c:v>
                </c:pt>
                <c:pt idx="12">
                  <c:v>Total</c:v>
                </c:pt>
              </c:strCache>
            </c:strRef>
          </c:cat>
          <c:val>
            <c:numRef>
              <c:f>'TASK 2'!$E$3:$E$15</c:f>
              <c:numCache>
                <c:formatCode>General</c:formatCode>
                <c:ptCount val="13"/>
                <c:pt idx="0">
                  <c:v>0</c:v>
                </c:pt>
                <c:pt idx="1">
                  <c:v>24</c:v>
                </c:pt>
                <c:pt idx="2">
                  <c:v>3</c:v>
                </c:pt>
                <c:pt idx="3">
                  <c:v>13</c:v>
                </c:pt>
                <c:pt idx="4">
                  <c:v>40</c:v>
                </c:pt>
                <c:pt idx="8">
                  <c:v>0</c:v>
                </c:pt>
                <c:pt idx="9">
                  <c:v>18</c:v>
                </c:pt>
                <c:pt idx="10">
                  <c:v>3</c:v>
                </c:pt>
                <c:pt idx="11">
                  <c:v>19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A-4CDB-97EA-09C35CD1AD99}"/>
            </c:ext>
          </c:extLst>
        </c:ser>
        <c:ser>
          <c:idx val="1"/>
          <c:order val="1"/>
          <c:tx>
            <c:strRef>
              <c:f>'TASK 2'!$F$2</c:f>
              <c:strCache>
                <c:ptCount val="1"/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2'!$D$3:$D$15</c:f>
              <c:strCache>
                <c:ptCount val="13"/>
                <c:pt idx="0">
                  <c:v>Reason_Mutual</c:v>
                </c:pt>
                <c:pt idx="1">
                  <c:v>Better Returns</c:v>
                </c:pt>
                <c:pt idx="2">
                  <c:v>Tax Benefits</c:v>
                </c:pt>
                <c:pt idx="3">
                  <c:v>Fund Diversification</c:v>
                </c:pt>
                <c:pt idx="4">
                  <c:v>Total</c:v>
                </c:pt>
                <c:pt idx="7">
                  <c:v>Reasons for Choosing Fixed Deposits</c:v>
                </c:pt>
                <c:pt idx="8">
                  <c:v>Reason_FD</c:v>
                </c:pt>
                <c:pt idx="9">
                  <c:v>Fixed Returns</c:v>
                </c:pt>
                <c:pt idx="10">
                  <c:v>High Interest Rates</c:v>
                </c:pt>
                <c:pt idx="11">
                  <c:v>Risk Free</c:v>
                </c:pt>
                <c:pt idx="12">
                  <c:v>Total</c:v>
                </c:pt>
              </c:strCache>
            </c:strRef>
          </c:cat>
          <c:val>
            <c:numRef>
              <c:f>'TASK 2'!$F$3:$F$15</c:f>
              <c:numCache>
                <c:formatCode>General</c:formatCode>
                <c:ptCount val="13"/>
                <c:pt idx="0">
                  <c:v>0</c:v>
                </c:pt>
                <c:pt idx="1">
                  <c:v>60</c:v>
                </c:pt>
                <c:pt idx="2">
                  <c:v>7.5</c:v>
                </c:pt>
                <c:pt idx="3">
                  <c:v>32.5</c:v>
                </c:pt>
                <c:pt idx="4">
                  <c:v>100</c:v>
                </c:pt>
                <c:pt idx="8">
                  <c:v>0</c:v>
                </c:pt>
                <c:pt idx="9">
                  <c:v>45</c:v>
                </c:pt>
                <c:pt idx="10">
                  <c:v>7.5</c:v>
                </c:pt>
                <c:pt idx="11">
                  <c:v>47.5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A-4CDB-97EA-09C35CD1AD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91152671"/>
        <c:axId val="591143103"/>
        <c:axId val="0"/>
      </c:bar3DChart>
      <c:catAx>
        <c:axId val="59115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3103"/>
        <c:crosses val="autoZero"/>
        <c:auto val="1"/>
        <c:lblAlgn val="ctr"/>
        <c:lblOffset val="100"/>
        <c:noMultiLvlLbl val="0"/>
      </c:catAx>
      <c:valAx>
        <c:axId val="5911431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115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520698</xdr:colOff>
      <xdr:row>2</xdr:row>
      <xdr:rowOff>139700</xdr:rowOff>
    </xdr:from>
    <xdr:to>
      <xdr:col>20</xdr:col>
      <xdr:colOff>142874</xdr:colOff>
      <xdr:row>22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3" displayName="Table3" ref="A1:B41" totalsRowShown="0" headerRowDxfId="13" dataDxfId="12">
  <autoFilter ref="A1:B41"/>
  <tableColumns count="2">
    <tableColumn id="1" name="Reason_Mutual" dataDxfId="11"/>
    <tableColumn id="2" name="Reason_FD" dataDxfId="10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D3:F7" totalsRowShown="0" headerRowDxfId="6" dataDxfId="5">
  <autoFilter ref="D3:F7"/>
  <tableColumns count="3">
    <tableColumn id="1" name="Reason_Mutual" dataDxfId="9"/>
    <tableColumn id="2" name="Count" dataDxfId="8"/>
    <tableColumn id="3" name="Percentage" dataDxfId="7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D11:F15" totalsRowShown="0" headerRowDxfId="1" dataDxfId="0">
  <autoFilter ref="D11:F15"/>
  <tableColumns count="3">
    <tableColumn id="1" name="Reason_FD" dataDxfId="4"/>
    <tableColumn id="2" name="Count" dataDxfId="3"/>
    <tableColumn id="3" name="Percentage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tabSelected="1" zoomScale="40" zoomScaleNormal="40" workbookViewId="0">
      <selection activeCell="F20" sqref="F20"/>
    </sheetView>
  </sheetViews>
  <sheetFormatPr defaultRowHeight="14.5" x14ac:dyDescent="0.35"/>
  <cols>
    <col min="1" max="1" width="26.08984375" customWidth="1"/>
    <col min="2" max="2" width="26.54296875" customWidth="1"/>
    <col min="4" max="4" width="63" customWidth="1"/>
    <col min="5" max="5" width="23.54296875" customWidth="1"/>
    <col min="6" max="6" width="34.453125" customWidth="1"/>
    <col min="9" max="9" width="31.453125" customWidth="1"/>
    <col min="11" max="11" width="12" customWidth="1"/>
  </cols>
  <sheetData>
    <row r="1" spans="1:6" ht="18.5" x14ac:dyDescent="0.45">
      <c r="A1" s="1" t="s">
        <v>11</v>
      </c>
      <c r="B1" s="1" t="s">
        <v>9</v>
      </c>
    </row>
    <row r="2" spans="1:6" ht="31" x14ac:dyDescent="0.45">
      <c r="A2" s="1" t="s">
        <v>1</v>
      </c>
      <c r="B2" s="1" t="s">
        <v>0</v>
      </c>
      <c r="C2" s="2"/>
      <c r="D2" s="3" t="s">
        <v>12</v>
      </c>
      <c r="E2" s="2"/>
      <c r="F2" s="2"/>
    </row>
    <row r="3" spans="1:6" ht="31" x14ac:dyDescent="0.45">
      <c r="A3" s="1" t="s">
        <v>1</v>
      </c>
      <c r="B3" s="1" t="s">
        <v>6</v>
      </c>
      <c r="C3" s="2"/>
      <c r="D3" s="2" t="s">
        <v>11</v>
      </c>
      <c r="E3" s="2" t="s">
        <v>8</v>
      </c>
      <c r="F3" s="2" t="s">
        <v>7</v>
      </c>
    </row>
    <row r="4" spans="1:6" ht="31" x14ac:dyDescent="0.45">
      <c r="A4" s="1" t="s">
        <v>4</v>
      </c>
      <c r="B4" s="1" t="s">
        <v>0</v>
      </c>
      <c r="C4" s="2"/>
      <c r="D4" s="2" t="s">
        <v>1</v>
      </c>
      <c r="E4" s="2">
        <f>COUNTIF(Table3[Reason_Mutual],"Better Returns")</f>
        <v>24</v>
      </c>
      <c r="F4" s="2">
        <f>E4 / E7 * 100</f>
        <v>60</v>
      </c>
    </row>
    <row r="5" spans="1:6" ht="31" x14ac:dyDescent="0.45">
      <c r="A5" s="1" t="s">
        <v>2</v>
      </c>
      <c r="B5" s="1" t="s">
        <v>6</v>
      </c>
      <c r="C5" s="2"/>
      <c r="D5" s="2" t="s">
        <v>4</v>
      </c>
      <c r="E5" s="2">
        <f>COUNTIF(Table3[Reason_Mutual],"Tax Benefits")</f>
        <v>3</v>
      </c>
      <c r="F5" s="2">
        <f>E5 / E7 * 100</f>
        <v>7.5</v>
      </c>
    </row>
    <row r="6" spans="1:6" ht="31" x14ac:dyDescent="0.45">
      <c r="A6" s="1" t="s">
        <v>1</v>
      </c>
      <c r="B6" s="1" t="s">
        <v>3</v>
      </c>
      <c r="C6" s="2"/>
      <c r="D6" s="2" t="s">
        <v>2</v>
      </c>
      <c r="E6" s="2">
        <f>COUNTIF(Table3[Reason_Mutual],"Fund Diversification")</f>
        <v>13</v>
      </c>
      <c r="F6" s="2">
        <f>E6 / E7 *100</f>
        <v>32.5</v>
      </c>
    </row>
    <row r="7" spans="1:6" ht="31" x14ac:dyDescent="0.45">
      <c r="A7" s="1" t="s">
        <v>2</v>
      </c>
      <c r="B7" s="1" t="s">
        <v>3</v>
      </c>
      <c r="C7" s="2"/>
      <c r="D7" s="2" t="s">
        <v>5</v>
      </c>
      <c r="E7" s="2">
        <f>SUM(E4,E5,E6)</f>
        <v>40</v>
      </c>
      <c r="F7" s="2">
        <f>E7 / E7 * 100</f>
        <v>100</v>
      </c>
    </row>
    <row r="8" spans="1:6" ht="31" x14ac:dyDescent="0.45">
      <c r="A8" s="1" t="s">
        <v>1</v>
      </c>
      <c r="B8" s="1" t="s">
        <v>6</v>
      </c>
      <c r="C8" s="2"/>
      <c r="D8" s="2"/>
      <c r="E8" s="2"/>
      <c r="F8" s="2"/>
    </row>
    <row r="9" spans="1:6" ht="31" x14ac:dyDescent="0.45">
      <c r="A9" s="1" t="s">
        <v>1</v>
      </c>
      <c r="B9" s="1" t="s">
        <v>3</v>
      </c>
      <c r="C9" s="2"/>
      <c r="D9" s="2"/>
      <c r="E9" s="2"/>
      <c r="F9" s="2"/>
    </row>
    <row r="10" spans="1:6" ht="31" x14ac:dyDescent="0.45">
      <c r="A10" s="1" t="s">
        <v>2</v>
      </c>
      <c r="B10" s="1" t="s">
        <v>0</v>
      </c>
      <c r="C10" s="2"/>
      <c r="D10" s="3" t="s">
        <v>10</v>
      </c>
      <c r="E10" s="2"/>
      <c r="F10" s="2"/>
    </row>
    <row r="11" spans="1:6" ht="31" x14ac:dyDescent="0.45">
      <c r="A11" s="1" t="s">
        <v>2</v>
      </c>
      <c r="B11" s="1" t="s">
        <v>0</v>
      </c>
      <c r="C11" s="2"/>
      <c r="D11" s="2" t="s">
        <v>9</v>
      </c>
      <c r="E11" s="2" t="s">
        <v>8</v>
      </c>
      <c r="F11" s="2" t="s">
        <v>7</v>
      </c>
    </row>
    <row r="12" spans="1:6" ht="31" x14ac:dyDescent="0.45">
      <c r="A12" s="1" t="s">
        <v>1</v>
      </c>
      <c r="B12" s="1" t="s">
        <v>3</v>
      </c>
      <c r="C12" s="2"/>
      <c r="D12" s="2" t="s">
        <v>0</v>
      </c>
      <c r="E12" s="2">
        <f>COUNTIF(Table3[Reason_FD],"Fixed Returns")</f>
        <v>18</v>
      </c>
      <c r="F12" s="2">
        <f>E12 / E15 *100</f>
        <v>45</v>
      </c>
    </row>
    <row r="13" spans="1:6" ht="31" x14ac:dyDescent="0.45">
      <c r="A13" s="1" t="s">
        <v>2</v>
      </c>
      <c r="B13" s="1" t="s">
        <v>0</v>
      </c>
      <c r="C13" s="2"/>
      <c r="D13" s="2" t="s">
        <v>6</v>
      </c>
      <c r="E13" s="2">
        <f>COUNTIF(Table3[Reason_FD],"High Interest Rates")</f>
        <v>3</v>
      </c>
      <c r="F13" s="2">
        <f>E13 / E15 *100</f>
        <v>7.5</v>
      </c>
    </row>
    <row r="14" spans="1:6" ht="31" x14ac:dyDescent="0.45">
      <c r="A14" s="1" t="s">
        <v>1</v>
      </c>
      <c r="B14" s="1" t="s">
        <v>3</v>
      </c>
      <c r="C14" s="2"/>
      <c r="D14" s="2" t="s">
        <v>3</v>
      </c>
      <c r="E14" s="2">
        <f>COUNTIF(Table3[Reason_FD],"Risk Free")</f>
        <v>19</v>
      </c>
      <c r="F14" s="2">
        <f>E14 / E15 *100</f>
        <v>47.5</v>
      </c>
    </row>
    <row r="15" spans="1:6" ht="31" x14ac:dyDescent="0.45">
      <c r="A15" s="1" t="s">
        <v>2</v>
      </c>
      <c r="B15" s="1" t="s">
        <v>3</v>
      </c>
      <c r="C15" s="2"/>
      <c r="D15" s="2" t="s">
        <v>5</v>
      </c>
      <c r="E15" s="2">
        <f>SUM(E12,E13,E14)</f>
        <v>40</v>
      </c>
      <c r="F15" s="2">
        <f>E15 / E15 *100</f>
        <v>100</v>
      </c>
    </row>
    <row r="16" spans="1:6" ht="18.5" x14ac:dyDescent="0.45">
      <c r="A16" s="1" t="s">
        <v>1</v>
      </c>
      <c r="B16" s="1" t="s">
        <v>3</v>
      </c>
    </row>
    <row r="17" spans="1:2" ht="18.5" x14ac:dyDescent="0.45">
      <c r="A17" s="1" t="s">
        <v>2</v>
      </c>
      <c r="B17" s="1" t="s">
        <v>3</v>
      </c>
    </row>
    <row r="18" spans="1:2" ht="18.5" x14ac:dyDescent="0.45">
      <c r="A18" s="1" t="s">
        <v>2</v>
      </c>
      <c r="B18" s="1" t="s">
        <v>3</v>
      </c>
    </row>
    <row r="19" spans="1:2" ht="18.5" x14ac:dyDescent="0.45">
      <c r="A19" s="1" t="s">
        <v>1</v>
      </c>
      <c r="B19" s="1" t="s">
        <v>3</v>
      </c>
    </row>
    <row r="20" spans="1:2" ht="18.5" x14ac:dyDescent="0.45">
      <c r="A20" s="1" t="s">
        <v>1</v>
      </c>
      <c r="B20" s="1" t="s">
        <v>3</v>
      </c>
    </row>
    <row r="21" spans="1:2" ht="18.5" x14ac:dyDescent="0.45">
      <c r="A21" s="1" t="s">
        <v>2</v>
      </c>
      <c r="B21" s="1" t="s">
        <v>3</v>
      </c>
    </row>
    <row r="22" spans="1:2" ht="18.5" x14ac:dyDescent="0.45">
      <c r="A22" s="1" t="s">
        <v>1</v>
      </c>
      <c r="B22" s="1" t="s">
        <v>0</v>
      </c>
    </row>
    <row r="23" spans="1:2" ht="18.5" x14ac:dyDescent="0.45">
      <c r="A23" s="1" t="s">
        <v>1</v>
      </c>
      <c r="B23" s="1" t="s">
        <v>3</v>
      </c>
    </row>
    <row r="24" spans="1:2" ht="18.5" x14ac:dyDescent="0.45">
      <c r="A24" s="1" t="s">
        <v>1</v>
      </c>
      <c r="B24" s="1" t="s">
        <v>3</v>
      </c>
    </row>
    <row r="25" spans="1:2" ht="18.5" x14ac:dyDescent="0.45">
      <c r="A25" s="1" t="s">
        <v>1</v>
      </c>
      <c r="B25" s="1" t="s">
        <v>3</v>
      </c>
    </row>
    <row r="26" spans="1:2" ht="18.5" x14ac:dyDescent="0.45">
      <c r="A26" s="1" t="s">
        <v>1</v>
      </c>
      <c r="B26" s="1" t="s">
        <v>3</v>
      </c>
    </row>
    <row r="27" spans="1:2" ht="18.5" x14ac:dyDescent="0.45">
      <c r="A27" s="1" t="s">
        <v>1</v>
      </c>
      <c r="B27" s="1" t="s">
        <v>0</v>
      </c>
    </row>
    <row r="28" spans="1:2" ht="18.5" x14ac:dyDescent="0.45">
      <c r="A28" s="1" t="s">
        <v>2</v>
      </c>
      <c r="B28" s="1" t="s">
        <v>0</v>
      </c>
    </row>
    <row r="29" spans="1:2" ht="18.5" x14ac:dyDescent="0.45">
      <c r="A29" s="1" t="s">
        <v>2</v>
      </c>
      <c r="B29" s="1" t="s">
        <v>0</v>
      </c>
    </row>
    <row r="30" spans="1:2" ht="18.5" x14ac:dyDescent="0.45">
      <c r="A30" s="1" t="s">
        <v>1</v>
      </c>
      <c r="B30" s="1" t="s">
        <v>3</v>
      </c>
    </row>
    <row r="31" spans="1:2" ht="18.5" x14ac:dyDescent="0.45">
      <c r="A31" s="1" t="s">
        <v>4</v>
      </c>
      <c r="B31" s="1" t="s">
        <v>0</v>
      </c>
    </row>
    <row r="32" spans="1:2" ht="18.5" x14ac:dyDescent="0.45">
      <c r="A32" s="1" t="s">
        <v>4</v>
      </c>
      <c r="B32" s="1" t="s">
        <v>0</v>
      </c>
    </row>
    <row r="33" spans="1:2" ht="18.5" x14ac:dyDescent="0.45">
      <c r="A33" s="1" t="s">
        <v>1</v>
      </c>
      <c r="B33" s="1" t="s">
        <v>0</v>
      </c>
    </row>
    <row r="34" spans="1:2" ht="18.5" x14ac:dyDescent="0.45">
      <c r="A34" s="1" t="s">
        <v>2</v>
      </c>
      <c r="B34" s="1" t="s">
        <v>0</v>
      </c>
    </row>
    <row r="35" spans="1:2" ht="18.5" x14ac:dyDescent="0.45">
      <c r="A35" s="1" t="s">
        <v>1</v>
      </c>
      <c r="B35" s="1" t="s">
        <v>3</v>
      </c>
    </row>
    <row r="36" spans="1:2" ht="18.5" x14ac:dyDescent="0.45">
      <c r="A36" s="1" t="s">
        <v>1</v>
      </c>
      <c r="B36" s="1" t="s">
        <v>0</v>
      </c>
    </row>
    <row r="37" spans="1:2" ht="18.5" x14ac:dyDescent="0.45">
      <c r="A37" s="1" t="s">
        <v>1</v>
      </c>
      <c r="B37" s="1" t="s">
        <v>0</v>
      </c>
    </row>
    <row r="38" spans="1:2" ht="18.5" x14ac:dyDescent="0.45">
      <c r="A38" s="1" t="s">
        <v>1</v>
      </c>
      <c r="B38" s="1" t="s">
        <v>3</v>
      </c>
    </row>
    <row r="39" spans="1:2" ht="18.5" x14ac:dyDescent="0.45">
      <c r="A39" s="1" t="s">
        <v>1</v>
      </c>
      <c r="B39" s="1" t="s">
        <v>0</v>
      </c>
    </row>
    <row r="40" spans="1:2" ht="18.5" x14ac:dyDescent="0.45">
      <c r="A40" s="1" t="s">
        <v>2</v>
      </c>
      <c r="B40" s="1" t="s">
        <v>0</v>
      </c>
    </row>
    <row r="41" spans="1:2" ht="18.5" x14ac:dyDescent="0.45">
      <c r="A41" s="1" t="s">
        <v>1</v>
      </c>
      <c r="B41" s="1" t="s">
        <v>0</v>
      </c>
    </row>
    <row r="42" spans="1:2" ht="18.5" x14ac:dyDescent="0.45">
      <c r="A42" s="1"/>
      <c r="B42" s="1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2026-01-06T05:46:50Z</dcterms:created>
  <dcterms:modified xsi:type="dcterms:W3CDTF">2026-01-08T07:18:27Z</dcterms:modified>
</cp:coreProperties>
</file>